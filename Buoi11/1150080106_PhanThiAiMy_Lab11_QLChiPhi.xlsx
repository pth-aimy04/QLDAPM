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hanhngoc2\qldu\"/>
    </mc:Choice>
  </mc:AlternateContent>
  <xr:revisionPtr revIDLastSave="0" documentId="8_{54EABC23-63A2-4173-8667-1AF80FAFF391}" xr6:coauthVersionLast="47" xr6:coauthVersionMax="47" xr10:uidLastSave="{00000000-0000-0000-0000-000000000000}"/>
  <bookViews>
    <workbookView xWindow="-108" yWindow="-108" windowWidth="23256" windowHeight="12456" activeTab="3" xr2:uid="{B3378AE3-8FFF-4E5E-8B25-D3CA48FC2453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3" l="1" a="1"/>
  <c r="H6" i="3" s="1"/>
  <c r="G4" i="3"/>
  <c r="G5" i="3"/>
  <c r="G3" i="3"/>
  <c r="G2" i="3"/>
  <c r="F3" i="3"/>
  <c r="F4" i="3"/>
  <c r="F5" i="3"/>
  <c r="F2" i="3"/>
  <c r="E4" i="3"/>
  <c r="E5" i="3"/>
  <c r="E3" i="3"/>
  <c r="E2" i="3"/>
  <c r="D2" i="3"/>
  <c r="D3" i="3"/>
  <c r="D4" i="3" s="1"/>
  <c r="D5" i="3" s="1"/>
  <c r="C9" i="2"/>
  <c r="D9" i="2"/>
  <c r="E9" i="2"/>
  <c r="B9" i="2"/>
  <c r="F9" i="2" s="1"/>
  <c r="C5" i="2"/>
  <c r="F5" i="2" s="1"/>
  <c r="D5" i="2"/>
  <c r="E5" i="2"/>
  <c r="B5" i="2"/>
  <c r="F7" i="2"/>
  <c r="F3" i="2"/>
  <c r="G13" i="1"/>
  <c r="G6" i="1"/>
  <c r="G11" i="1"/>
  <c r="G12" i="1"/>
  <c r="G10" i="1"/>
  <c r="G3" i="1"/>
  <c r="G4" i="1"/>
  <c r="G5" i="1"/>
  <c r="F11" i="2" l="1"/>
  <c r="F1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<sst xmlns="http://schemas.openxmlformats.org/spreadsheetml/2006/main" count="45" uniqueCount="33">
  <si>
    <t>Discount rate</t>
  </si>
  <si>
    <t>YEAR 1</t>
  </si>
  <si>
    <t>YEAR 2</t>
  </si>
  <si>
    <t>YEAR 3</t>
  </si>
  <si>
    <t>YEAR 4</t>
  </si>
  <si>
    <t>YEAR 5</t>
  </si>
  <si>
    <t>TOTAL</t>
  </si>
  <si>
    <t>Benefits ($)</t>
  </si>
  <si>
    <t>Cost ($)</t>
  </si>
  <si>
    <t>Cash flow ($)</t>
  </si>
  <si>
    <t>NPV (10%)</t>
  </si>
  <si>
    <t>Mục</t>
  </si>
  <si>
    <t>Tổng cộng</t>
  </si>
  <si>
    <t>Chi phí (Cost)</t>
  </si>
  <si>
    <t>Hệ số chiết khấu (Discount factor)</t>
  </si>
  <si>
    <t>Chi phí chiết khấu (Discounted Cost)</t>
  </si>
  <si>
    <t>Lợi ích (Benefits)</t>
  </si>
  <si>
    <t>Lợi ích chiết khấu (Discounted Benefits)</t>
  </si>
  <si>
    <t>Lợi ích ròng chiết khấu (Discounted benefits − cost)</t>
  </si>
  <si>
    <t>ROI</t>
  </si>
  <si>
    <t>Year</t>
  </si>
  <si>
    <t>Costs</t>
  </si>
  <si>
    <t>Benefits</t>
  </si>
  <si>
    <t>Cum Costs</t>
  </si>
  <si>
    <t>Cum Benefits</t>
  </si>
  <si>
    <t>Net mỗi năm</t>
  </si>
  <si>
    <t>Cumulative net</t>
  </si>
  <si>
    <t>Payback</t>
  </si>
  <si>
    <t>BCWS</t>
  </si>
  <si>
    <t>BCWP</t>
  </si>
  <si>
    <t>ACWP</t>
  </si>
  <si>
    <t>BAC</t>
  </si>
  <si>
    <t>PlannedDuration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</si>
</sst>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9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/>
    <xf numFmtId="3" fontId="0" fillId="0" borderId="0" xfId="0" applyNumberFormat="1" applyAlignment="1">
      <alignment horizontal="center" vertical="center" wrapText="1"/>
    </xf>
    <xf numFmtId="8" fontId="1" fillId="0" borderId="0" xfId="0" applyNumberFormat="1" applyFont="1" applyAlignment="1">
      <alignment horizontal="center" vertical="center" wrapText="1"/>
    </xf>
    <xf numFmtId="3" fontId="0" fillId="0" borderId="0" xfId="0" applyNumberFormat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BB284-42DB-4D76-B50E-C58A4CED66BA}">
  <dimension ref="A1:G13"/>
  <sheetViews>
    <sheetView topLeftCell="A13" workbookViewId="0">
      <selection activeCell="E28" sqref="E28"/>
    </sheetView>
  </sheetViews>
  <sheetFormatPr defaultRowHeight="14.4" x14ac:dyDescent="0.3"/>
  <cols>
    <col min="1" max="1" width="11.88671875" bestFit="1" customWidth="1"/>
    <col min="7" max="7" width="9.5546875" bestFit="1" customWidth="1"/>
  </cols>
  <sheetData>
    <row r="1" spans="1:7" x14ac:dyDescent="0.3">
      <c r="A1" t="s">
        <v>0</v>
      </c>
      <c r="B1" s="1">
        <v>0.1</v>
      </c>
    </row>
    <row r="2" spans="1:7" x14ac:dyDescent="0.3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3">
      <c r="A3" s="5" t="s">
        <v>7</v>
      </c>
      <c r="B3" s="3">
        <v>0</v>
      </c>
      <c r="C3" s="7">
        <v>2000</v>
      </c>
      <c r="D3" s="7">
        <v>3000</v>
      </c>
      <c r="E3" s="7">
        <v>4000</v>
      </c>
      <c r="F3" s="7">
        <v>5000</v>
      </c>
      <c r="G3" s="7">
        <f>SUM(B3:F3)</f>
        <v>14000</v>
      </c>
    </row>
    <row r="4" spans="1:7" x14ac:dyDescent="0.3">
      <c r="A4" s="5" t="s">
        <v>8</v>
      </c>
      <c r="B4" s="7">
        <v>5000</v>
      </c>
      <c r="C4" s="7">
        <v>1000</v>
      </c>
      <c r="D4" s="7">
        <v>1000</v>
      </c>
      <c r="E4" s="7">
        <v>1000</v>
      </c>
      <c r="F4" s="7">
        <v>1000</v>
      </c>
      <c r="G4" s="7">
        <f t="shared" ref="G4:G5" si="0">SUM(B4:F4)</f>
        <v>9000</v>
      </c>
    </row>
    <row r="5" spans="1:7" x14ac:dyDescent="0.3">
      <c r="A5" s="5" t="s">
        <v>9</v>
      </c>
      <c r="B5" s="7">
        <v>-5000</v>
      </c>
      <c r="C5" s="7">
        <v>1000</v>
      </c>
      <c r="D5" s="7">
        <v>2000</v>
      </c>
      <c r="E5" s="7">
        <v>3000</v>
      </c>
      <c r="F5" s="7">
        <v>4000</v>
      </c>
      <c r="G5" s="7">
        <f t="shared" si="0"/>
        <v>5000</v>
      </c>
    </row>
    <row r="6" spans="1:7" x14ac:dyDescent="0.3">
      <c r="A6" s="5" t="s">
        <v>10</v>
      </c>
      <c r="B6" s="3"/>
      <c r="C6" s="3"/>
      <c r="D6" s="3"/>
      <c r="E6" s="3"/>
      <c r="F6" s="3"/>
      <c r="G6" s="8">
        <f>NPV($B$1, B5:F5)</f>
        <v>2316.346995672176</v>
      </c>
    </row>
    <row r="9" spans="1:7" x14ac:dyDescent="0.3">
      <c r="A9" s="2"/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</row>
    <row r="10" spans="1:7" x14ac:dyDescent="0.3">
      <c r="A10" s="5" t="s">
        <v>7</v>
      </c>
      <c r="B10" s="7">
        <v>1000</v>
      </c>
      <c r="C10" s="7">
        <v>2000</v>
      </c>
      <c r="D10" s="7">
        <v>4000</v>
      </c>
      <c r="E10" s="7">
        <v>4000</v>
      </c>
      <c r="F10" s="7">
        <v>4000</v>
      </c>
      <c r="G10" s="7">
        <f>SUM(B10:F10)</f>
        <v>15000</v>
      </c>
    </row>
    <row r="11" spans="1:7" x14ac:dyDescent="0.3">
      <c r="A11" s="5" t="s">
        <v>8</v>
      </c>
      <c r="B11" s="7">
        <v>2000</v>
      </c>
      <c r="C11" s="7">
        <v>2000</v>
      </c>
      <c r="D11" s="7">
        <v>2000</v>
      </c>
      <c r="E11" s="7">
        <v>2000</v>
      </c>
      <c r="F11" s="7">
        <v>2000</v>
      </c>
      <c r="G11" s="7">
        <f t="shared" ref="G11:G12" si="1">SUM(B11:F11)</f>
        <v>10000</v>
      </c>
    </row>
    <row r="12" spans="1:7" x14ac:dyDescent="0.3">
      <c r="A12" s="5" t="s">
        <v>9</v>
      </c>
      <c r="B12" s="7">
        <v>-1000</v>
      </c>
      <c r="C12" s="3">
        <v>0</v>
      </c>
      <c r="D12" s="7">
        <v>2000</v>
      </c>
      <c r="E12" s="7">
        <v>2000</v>
      </c>
      <c r="F12" s="7">
        <v>2000</v>
      </c>
      <c r="G12" s="7">
        <f t="shared" si="1"/>
        <v>5000</v>
      </c>
    </row>
    <row r="13" spans="1:7" x14ac:dyDescent="0.3">
      <c r="A13" s="5" t="s">
        <v>10</v>
      </c>
      <c r="B13" s="3"/>
      <c r="C13" s="3"/>
      <c r="D13" s="3"/>
      <c r="E13" s="3"/>
      <c r="F13" s="3"/>
      <c r="G13" s="8">
        <f>NPV($B$1, B12:F12)</f>
        <v>3201.4082495606972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7EB85-99DB-4513-B037-0D2B95166EF5}">
  <dimension ref="A1:F12"/>
  <sheetViews>
    <sheetView workbookViewId="0">
      <selection activeCell="H9" sqref="H9"/>
    </sheetView>
  </sheetViews>
  <sheetFormatPr defaultRowHeight="14.4" x14ac:dyDescent="0.3"/>
  <cols>
    <col min="1" max="1" width="18.88671875" customWidth="1"/>
    <col min="6" max="6" width="25.33203125" customWidth="1"/>
  </cols>
  <sheetData>
    <row r="1" spans="1:6" x14ac:dyDescent="0.3">
      <c r="A1" t="s">
        <v>0</v>
      </c>
      <c r="B1" s="1">
        <v>0.08</v>
      </c>
    </row>
    <row r="2" spans="1:6" x14ac:dyDescent="0.3">
      <c r="A2" s="2" t="s">
        <v>11</v>
      </c>
      <c r="B2" s="2">
        <v>0</v>
      </c>
      <c r="C2" s="2">
        <v>1</v>
      </c>
      <c r="D2" s="2">
        <v>2</v>
      </c>
      <c r="E2" s="2">
        <v>3</v>
      </c>
      <c r="F2" s="2" t="s">
        <v>12</v>
      </c>
    </row>
    <row r="3" spans="1:6" x14ac:dyDescent="0.3">
      <c r="A3" s="5" t="s">
        <v>13</v>
      </c>
      <c r="B3" s="9">
        <v>140000</v>
      </c>
      <c r="C3" s="9">
        <v>40000</v>
      </c>
      <c r="D3" s="9">
        <v>40000</v>
      </c>
      <c r="E3" s="9">
        <v>40000</v>
      </c>
      <c r="F3" s="9">
        <f>SUM(B3:E3)</f>
        <v>260000</v>
      </c>
    </row>
    <row r="4" spans="1:6" ht="28.8" x14ac:dyDescent="0.3">
      <c r="A4" s="5" t="s">
        <v>14</v>
      </c>
      <c r="B4" s="4">
        <v>1</v>
      </c>
      <c r="C4" s="4">
        <v>0.93</v>
      </c>
      <c r="D4" s="4">
        <v>0.86</v>
      </c>
      <c r="E4" s="4">
        <v>0.79</v>
      </c>
      <c r="F4" s="4"/>
    </row>
    <row r="5" spans="1:6" ht="28.8" x14ac:dyDescent="0.3">
      <c r="A5" s="5" t="s">
        <v>15</v>
      </c>
      <c r="B5" s="9">
        <f>B3*B4</f>
        <v>140000</v>
      </c>
      <c r="C5" s="9">
        <f t="shared" ref="C5:E5" si="0">C3*C4</f>
        <v>37200</v>
      </c>
      <c r="D5" s="9">
        <f t="shared" si="0"/>
        <v>34400</v>
      </c>
      <c r="E5" s="9">
        <f t="shared" si="0"/>
        <v>31600</v>
      </c>
      <c r="F5" s="9">
        <f>SUM(B5:E5)</f>
        <v>243200</v>
      </c>
    </row>
    <row r="6" spans="1:6" x14ac:dyDescent="0.3">
      <c r="A6" s="4"/>
      <c r="B6" s="4"/>
      <c r="C6" s="4"/>
      <c r="D6" s="4"/>
      <c r="E6" s="4"/>
      <c r="F6" s="4"/>
    </row>
    <row r="7" spans="1:6" x14ac:dyDescent="0.3">
      <c r="A7" s="5" t="s">
        <v>16</v>
      </c>
      <c r="B7" s="4">
        <v>0</v>
      </c>
      <c r="C7" s="9">
        <v>200000</v>
      </c>
      <c r="D7" s="9">
        <v>200000</v>
      </c>
      <c r="E7" s="9">
        <v>200000</v>
      </c>
      <c r="F7" s="9">
        <f>SUM(B7:E7)</f>
        <v>600000</v>
      </c>
    </row>
    <row r="8" spans="1:6" ht="28.8" x14ac:dyDescent="0.3">
      <c r="A8" s="5" t="s">
        <v>14</v>
      </c>
      <c r="B8" s="4">
        <v>1</v>
      </c>
      <c r="C8" s="4">
        <v>0.93</v>
      </c>
      <c r="D8" s="4">
        <v>0.86</v>
      </c>
      <c r="E8" s="4">
        <v>0.79</v>
      </c>
      <c r="F8" s="4"/>
    </row>
    <row r="9" spans="1:6" ht="43.2" x14ac:dyDescent="0.3">
      <c r="A9" s="5" t="s">
        <v>17</v>
      </c>
      <c r="B9" s="4">
        <f>B7*B8</f>
        <v>0</v>
      </c>
      <c r="C9" s="4">
        <f t="shared" ref="C9:E9" si="1">C7*C8</f>
        <v>186000</v>
      </c>
      <c r="D9" s="4">
        <f t="shared" si="1"/>
        <v>172000</v>
      </c>
      <c r="E9" s="4">
        <f t="shared" si="1"/>
        <v>158000</v>
      </c>
      <c r="F9" s="9">
        <f>SUM(B9:E9)</f>
        <v>516000</v>
      </c>
    </row>
    <row r="10" spans="1:6" x14ac:dyDescent="0.3">
      <c r="A10" s="4"/>
      <c r="B10" s="4"/>
      <c r="C10" s="4"/>
      <c r="D10" s="4"/>
      <c r="E10" s="4"/>
      <c r="F10" s="4"/>
    </row>
    <row r="11" spans="1:6" ht="43.2" x14ac:dyDescent="0.3">
      <c r="A11" s="5" t="s">
        <v>18</v>
      </c>
      <c r="B11" s="4"/>
      <c r="C11" s="4"/>
      <c r="D11" s="4"/>
      <c r="E11" s="4"/>
      <c r="F11" s="9">
        <f>F9 - F5</f>
        <v>272800</v>
      </c>
    </row>
    <row r="12" spans="1:6" x14ac:dyDescent="0.3">
      <c r="A12" s="5" t="s">
        <v>19</v>
      </c>
      <c r="B12" s="4"/>
      <c r="C12" s="4"/>
      <c r="D12" s="4"/>
      <c r="E12" s="4"/>
      <c r="F12" s="10">
        <f>F11 / F5</f>
        <v>1.1217105263157894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587A-111D-42F1-AD06-66D4D5B7F546}">
  <dimension ref="A1:H6"/>
  <sheetViews>
    <sheetView workbookViewId="0">
      <selection activeCell="N6" sqref="N6"/>
    </sheetView>
  </sheetViews>
  <sheetFormatPr defaultRowHeight="14.4" x14ac:dyDescent="0.3"/>
  <sheetData>
    <row r="1" spans="1:8" ht="28.8" x14ac:dyDescent="0.3">
      <c r="A1" s="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/>
    </row>
    <row r="2" spans="1:8" x14ac:dyDescent="0.3">
      <c r="A2" s="4">
        <v>0</v>
      </c>
      <c r="B2" s="13">
        <v>140000</v>
      </c>
      <c r="C2" s="11">
        <v>0</v>
      </c>
      <c r="D2" s="13">
        <f>B2</f>
        <v>140000</v>
      </c>
      <c r="E2" s="11">
        <f>C2</f>
        <v>0</v>
      </c>
      <c r="F2" s="6">
        <f>C2 - B2</f>
        <v>-140000</v>
      </c>
      <c r="G2" s="6">
        <f>F2</f>
        <v>-140000</v>
      </c>
    </row>
    <row r="3" spans="1:8" x14ac:dyDescent="0.3">
      <c r="A3" s="4">
        <v>1</v>
      </c>
      <c r="B3" s="13">
        <v>37200</v>
      </c>
      <c r="C3" s="13">
        <v>186000</v>
      </c>
      <c r="D3" s="13">
        <f>D2 + B3</f>
        <v>177200</v>
      </c>
      <c r="E3" s="13">
        <f>E2 + C3</f>
        <v>186000</v>
      </c>
      <c r="F3" s="6">
        <f t="shared" ref="F3:F5" si="0">C3 - B3</f>
        <v>148800</v>
      </c>
      <c r="G3" s="6">
        <f>G2 + F3</f>
        <v>8800</v>
      </c>
    </row>
    <row r="4" spans="1:8" x14ac:dyDescent="0.3">
      <c r="A4" s="4">
        <v>2</v>
      </c>
      <c r="B4" s="13">
        <v>34400</v>
      </c>
      <c r="C4" s="13">
        <v>172000</v>
      </c>
      <c r="D4" s="13">
        <f t="shared" ref="D4:D5" si="1">D3 + B4</f>
        <v>211600</v>
      </c>
      <c r="E4" s="13">
        <f t="shared" ref="E4:E5" si="2">E3 + C4</f>
        <v>358000</v>
      </c>
      <c r="F4" s="6">
        <f t="shared" si="0"/>
        <v>137600</v>
      </c>
      <c r="G4" s="6">
        <f t="shared" ref="G4:G5" si="3">G3 + F4</f>
        <v>146400</v>
      </c>
    </row>
    <row r="5" spans="1:8" x14ac:dyDescent="0.3">
      <c r="A5" s="4">
        <v>3</v>
      </c>
      <c r="B5" s="13">
        <v>31600</v>
      </c>
      <c r="C5" s="13">
        <v>158000</v>
      </c>
      <c r="D5" s="13">
        <f t="shared" si="1"/>
        <v>243200</v>
      </c>
      <c r="E5" s="13">
        <f t="shared" si="2"/>
        <v>516000</v>
      </c>
      <c r="F5" s="6">
        <f t="shared" si="0"/>
        <v>126400</v>
      </c>
      <c r="G5" s="6">
        <f t="shared" si="3"/>
        <v>272800</v>
      </c>
    </row>
    <row r="6" spans="1:8" x14ac:dyDescent="0.3">
      <c r="A6" t="s">
        <v>27</v>
      </c>
      <c r="H6" cm="1">
        <f t="array" ref="H6">INDEX(A2:A5, MATCH(TRUE, E2:E5&gt;=D2:D5, 0)) - 1 +
  (INDEX(D2:D5, MATCH(TRUE, E2:E5&gt;=D2:D5, 0)-1) - INDEX(E2:E5, MATCH(TRUE, E2:E5&gt;=D2:D5, 0)-1)) /
  (INDEX(E2:E5, MATCH(TRUE, E2:E5&gt;=D2:D5, 0)) - INDEX(E2:E5, MATCH(TRUE, E2:E5&gt;=D2:D5, 0)-1))</f>
        <v>0.75268817204301075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7189A-956B-494C-B5A5-A4A6CDB988CA}">
  <dimension ref="A2:B6"/>
  <sheetViews>
    <sheetView tabSelected="1" workbookViewId="0">
      <selection activeCell="M8" sqref="M8"/>
    </sheetView>
  </sheetViews>
  <sheetFormatPr defaultRowHeight="14.4" x14ac:dyDescent="0.3"/>
  <cols>
    <col min="1" max="1" width="14.6640625" bestFit="1" customWidth="1"/>
  </cols>
  <sheetData>
    <row r="2" spans="1:2" x14ac:dyDescent="0.3">
      <c r="A2" t="s">
        <v>28</v>
      </c>
      <c r="B2">
        <v>23000</v>
      </c>
    </row>
    <row r="3" spans="1:2" x14ac:dyDescent="0.3">
      <c r="A3" t="s">
        <v>29</v>
      </c>
      <c r="B3">
        <v>20000</v>
      </c>
    </row>
    <row r="4" spans="1:2" x14ac:dyDescent="0.3">
      <c r="A4" t="s">
        <v>30</v>
      </c>
      <c r="B4">
        <v>25000</v>
      </c>
    </row>
    <row r="5" spans="1:2" x14ac:dyDescent="0.3">
      <c r="A5" t="s">
        <v>31</v>
      </c>
      <c r="B5">
        <v>120000</v>
      </c>
    </row>
    <row r="6" spans="1:2" x14ac:dyDescent="0.3">
      <c r="A6" t="s">
        <v>32</v>
      </c>
      <c r="B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Nguyen Khanh Ngoc</dc:creator>
  <cp:lastModifiedBy>Tran Nguyen Khanh Ngoc</cp:lastModifiedBy>
  <dcterms:created xsi:type="dcterms:W3CDTF">2025-11-10T09:02:38Z</dcterms:created>
  <dcterms:modified xsi:type="dcterms:W3CDTF">2025-11-10T10:14:37Z</dcterms:modified>
</cp:coreProperties>
</file>